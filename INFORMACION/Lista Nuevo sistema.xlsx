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Carlos\Desktop\"/>
    </mc:Choice>
  </mc:AlternateContent>
  <xr:revisionPtr revIDLastSave="0" documentId="13_ncr:1_{85E8CB18-9FF5-4EA2-90B2-264C2145A42D}" xr6:coauthVersionLast="47" xr6:coauthVersionMax="47" xr10:uidLastSave="{00000000-0000-0000-0000-000000000000}"/>
  <bookViews>
    <workbookView xWindow="-120" yWindow="-120" windowWidth="29040" windowHeight="15840" xr2:uid="{839FA105-8229-4A97-8A67-F73F03F839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1" l="1"/>
  <c r="O12" i="1" s="1"/>
  <c r="O13" i="1"/>
  <c r="O11" i="1"/>
  <c r="O10" i="1"/>
  <c r="O9" i="1"/>
  <c r="O8" i="1"/>
  <c r="O7" i="1"/>
  <c r="O6" i="1"/>
  <c r="O5" i="1"/>
  <c r="O4" i="1"/>
  <c r="O3" i="1"/>
  <c r="O2" i="1"/>
  <c r="N10" i="1"/>
  <c r="N8" i="1"/>
  <c r="N7" i="1"/>
  <c r="N5" i="1"/>
  <c r="N4" i="1"/>
  <c r="M12" i="1"/>
  <c r="T12" i="1" s="1"/>
  <c r="S12" i="1"/>
  <c r="M8" i="1"/>
  <c r="M10" i="1"/>
  <c r="M4" i="1"/>
  <c r="M5" i="1"/>
  <c r="M7" i="1"/>
</calcChain>
</file>

<file path=xl/sharedStrings.xml><?xml version="1.0" encoding="utf-8"?>
<sst xmlns="http://schemas.openxmlformats.org/spreadsheetml/2006/main" count="102" uniqueCount="68">
  <si>
    <t>PRODUCTO</t>
  </si>
  <si>
    <t>E</t>
  </si>
  <si>
    <t>TIPO</t>
  </si>
  <si>
    <t>MODELO</t>
  </si>
  <si>
    <t>OT</t>
  </si>
  <si>
    <t>S</t>
  </si>
  <si>
    <t>C</t>
  </si>
  <si>
    <t>P</t>
  </si>
  <si>
    <t>T</t>
  </si>
  <si>
    <t>R1</t>
  </si>
  <si>
    <t>R2</t>
  </si>
  <si>
    <t>R3</t>
  </si>
  <si>
    <t>EMPR</t>
  </si>
  <si>
    <t>PROD</t>
  </si>
  <si>
    <t>COPP</t>
  </si>
  <si>
    <t>CAMPANA CECOP5006</t>
  </si>
  <si>
    <t>COM</t>
  </si>
  <si>
    <t>ACTIVIDAD</t>
  </si>
  <si>
    <t>ESPECIF</t>
  </si>
  <si>
    <t>PROP</t>
  </si>
  <si>
    <t>OBJ</t>
  </si>
  <si>
    <t>NF</t>
  </si>
  <si>
    <t>FF</t>
  </si>
  <si>
    <t>RECIBO</t>
  </si>
  <si>
    <t>PAGO</t>
  </si>
  <si>
    <t>SALDO</t>
  </si>
  <si>
    <t>%</t>
  </si>
  <si>
    <t>$</t>
  </si>
  <si>
    <t>CONSIGN</t>
  </si>
  <si>
    <t>HABILITA</t>
  </si>
  <si>
    <t>DAV</t>
  </si>
  <si>
    <t>OTE</t>
  </si>
  <si>
    <t>JCC</t>
  </si>
  <si>
    <t>ANAFE AEVCOP6802</t>
  </si>
  <si>
    <t>HORNO HENCOP65LTS</t>
  </si>
  <si>
    <t>NLE</t>
  </si>
  <si>
    <t>DRH</t>
  </si>
  <si>
    <t>HORNO HENCOP50LTS</t>
  </si>
  <si>
    <t>N+F</t>
  </si>
  <si>
    <t>PORTATIL</t>
  </si>
  <si>
    <t>HORNO HEECOPE7E5</t>
  </si>
  <si>
    <t>EMPOTR</t>
  </si>
  <si>
    <t>N+F+S</t>
  </si>
  <si>
    <t>O</t>
  </si>
  <si>
    <t>CASI</t>
  </si>
  <si>
    <t>GOLD</t>
  </si>
  <si>
    <t>17025 AGOSTO</t>
  </si>
  <si>
    <t>CAPACIT</t>
  </si>
  <si>
    <t>1CL+REV</t>
  </si>
  <si>
    <t>CALIBRACIONES</t>
  </si>
  <si>
    <t>10 OT</t>
  </si>
  <si>
    <t>PLANTA</t>
  </si>
  <si>
    <t>NG</t>
  </si>
  <si>
    <t>UVP SECOM CCP02</t>
  </si>
  <si>
    <t>FRIM</t>
  </si>
  <si>
    <t>HIPOT ULTRA 7804</t>
  </si>
  <si>
    <t>STEC+CAL</t>
  </si>
  <si>
    <t>CAL</t>
  </si>
  <si>
    <t>MAIO</t>
  </si>
  <si>
    <t>SAD9000 S</t>
  </si>
  <si>
    <t>WEG</t>
  </si>
  <si>
    <t>MW2</t>
  </si>
  <si>
    <t>STEC</t>
  </si>
  <si>
    <t>DGO</t>
  </si>
  <si>
    <t>DDR</t>
  </si>
  <si>
    <t>$OT II</t>
  </si>
  <si>
    <t>$FII</t>
  </si>
  <si>
    <t>SALDO 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</si>
</sst>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.0000_-;\-&quot;$&quot;\ * #,##0.0000_-;_-&quot;$&quot;\ * &quot;-&quot;??_-;_-@_-"/>
    <numFmt numFmtId="165" formatCode="_-&quot;$&quot;\ * #,##0.0000_-;\-&quot;$&quot;\ * #,##0.0000_-;_-&quot;$&quot;\ * &quot;-&quot;??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shrinkToFit="1"/>
    </xf>
    <xf numFmtId="1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vertical="center" shrinkToFit="1"/>
    </xf>
    <xf numFmtId="14" fontId="2" fillId="2" borderId="1" xfId="0" applyNumberFormat="1" applyFont="1" applyFill="1" applyBorder="1" applyAlignment="1">
      <alignment horizontal="center" vertical="center" shrinkToFit="1"/>
    </xf>
    <xf numFmtId="9" fontId="2" fillId="2" borderId="1" xfId="0" applyNumberFormat="1" applyFont="1" applyFill="1" applyBorder="1" applyAlignment="1">
      <alignment horizontal="center" vertical="center" shrinkToFi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0" fontId="2" fillId="2" borderId="2" xfId="0" applyFont="1" applyFill="1" applyBorder="1" applyAlignment="1">
      <alignment horizontal="center" vertical="center" shrinkToFit="1"/>
    </xf>
    <xf numFmtId="0" fontId="0" fillId="0" borderId="2" xfId="0" applyBorder="1"/>
    <xf numFmtId="165" fontId="0" fillId="0" borderId="2" xfId="0" applyNumberFormat="1" applyBorder="1"/>
    <xf numFmtId="0" fontId="2" fillId="2" borderId="3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vertical="center" shrinkToFit="1"/>
    </xf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91FC-C6D8-4867-81AC-1C8FFF94D636}">
  <dimension ref="A1:X14"/>
  <sheetViews>
    <sheetView tabSelected="1" workbookViewId="0">
      <selection activeCell="A22" sqref="A22"/>
    </sheetView>
  </sheetViews>
  <sheetFormatPr baseColWidth="10" defaultRowHeight="15" x14ac:dyDescent="0.25"/>
  <cols>
    <col min="1" max="1" width="5.42578125" bestFit="1" customWidth="1"/>
    <col min="4" max="4" width="20.7109375" bestFit="1" customWidth="1"/>
    <col min="5" max="5" width="9" bestFit="1" customWidth="1"/>
    <col min="14" max="15" width="13.7109375" customWidth="1"/>
  </cols>
  <sheetData>
    <row r="1" spans="1:24" x14ac:dyDescent="0.25">
      <c r="A1" s="4" t="s">
        <v>2</v>
      </c>
      <c r="B1" s="1" t="s">
        <v>4</v>
      </c>
      <c r="C1" s="1" t="s">
        <v>12</v>
      </c>
      <c r="D1" s="1" t="s">
        <v>0</v>
      </c>
      <c r="E1" s="1" t="s">
        <v>3</v>
      </c>
      <c r="F1" s="1" t="s">
        <v>18</v>
      </c>
      <c r="G1" s="1" t="s">
        <v>17</v>
      </c>
      <c r="H1" s="1" t="s">
        <v>19</v>
      </c>
      <c r="I1" s="1" t="s">
        <v>20</v>
      </c>
      <c r="J1" s="1" t="s">
        <v>9</v>
      </c>
      <c r="K1" s="1" t="s">
        <v>10</v>
      </c>
      <c r="L1" s="5" t="s">
        <v>11</v>
      </c>
      <c r="M1" s="5" t="s">
        <v>65</v>
      </c>
      <c r="N1" s="6" t="s">
        <v>66</v>
      </c>
      <c r="O1" s="6" t="s">
        <v>67</v>
      </c>
      <c r="P1" s="1" t="s">
        <v>21</v>
      </c>
      <c r="Q1" s="1" t="s">
        <v>22</v>
      </c>
      <c r="R1" s="1" t="s">
        <v>23</v>
      </c>
      <c r="S1" s="1" t="s">
        <v>24</v>
      </c>
      <c r="T1" s="10" t="s">
        <v>25</v>
      </c>
      <c r="U1" s="13" t="s">
        <v>26</v>
      </c>
      <c r="V1" s="14" t="s">
        <v>27</v>
      </c>
      <c r="W1" s="15" t="s">
        <v>28</v>
      </c>
      <c r="X1" s="16" t="s">
        <v>29</v>
      </c>
    </row>
    <row r="2" spans="1:24" x14ac:dyDescent="0.25">
      <c r="A2" s="7" t="s">
        <v>5</v>
      </c>
      <c r="B2" s="7">
        <v>2508276</v>
      </c>
      <c r="C2" s="7" t="s">
        <v>14</v>
      </c>
      <c r="D2" s="7" t="s">
        <v>15</v>
      </c>
      <c r="E2" s="7"/>
      <c r="F2" s="7">
        <v>60335</v>
      </c>
      <c r="G2" s="7" t="s">
        <v>16</v>
      </c>
      <c r="H2" s="8">
        <v>45943</v>
      </c>
      <c r="I2" s="8">
        <v>45912</v>
      </c>
      <c r="J2" s="7" t="s">
        <v>30</v>
      </c>
      <c r="K2" s="7" t="s">
        <v>31</v>
      </c>
      <c r="L2" s="7" t="s">
        <v>32</v>
      </c>
      <c r="M2" s="9">
        <v>1.21</v>
      </c>
      <c r="N2" s="9">
        <v>1.21</v>
      </c>
      <c r="O2" s="9">
        <f t="shared" ref="O2:O13" si="0">M2-N2</f>
        <v>0</v>
      </c>
      <c r="P2" s="7">
        <v>7002</v>
      </c>
      <c r="Q2" s="8">
        <v>45904</v>
      </c>
      <c r="R2" s="7"/>
      <c r="S2" s="7"/>
      <c r="T2" s="11"/>
      <c r="U2" s="17"/>
      <c r="V2" s="18"/>
      <c r="W2" s="18"/>
      <c r="X2" s="19"/>
    </row>
    <row r="3" spans="1:24" x14ac:dyDescent="0.25">
      <c r="A3" s="7" t="s">
        <v>5</v>
      </c>
      <c r="B3" s="7">
        <v>2508277</v>
      </c>
      <c r="C3" s="7" t="s">
        <v>14</v>
      </c>
      <c r="D3" s="7" t="s">
        <v>33</v>
      </c>
      <c r="E3" s="7"/>
      <c r="F3" s="7">
        <v>60335</v>
      </c>
      <c r="G3" s="7" t="s">
        <v>16</v>
      </c>
      <c r="H3" s="8">
        <v>45943</v>
      </c>
      <c r="I3" s="8">
        <v>45919</v>
      </c>
      <c r="J3" s="7" t="s">
        <v>30</v>
      </c>
      <c r="K3" s="7" t="s">
        <v>31</v>
      </c>
      <c r="L3" s="7" t="s">
        <v>32</v>
      </c>
      <c r="M3" s="9">
        <v>1.21</v>
      </c>
      <c r="N3" s="9">
        <v>1.21</v>
      </c>
      <c r="O3" s="9">
        <f t="shared" si="0"/>
        <v>0</v>
      </c>
      <c r="P3" s="7">
        <v>7002</v>
      </c>
      <c r="Q3" s="8">
        <v>45904</v>
      </c>
      <c r="R3" s="7"/>
      <c r="S3" s="7"/>
      <c r="T3" s="11"/>
      <c r="U3" s="17"/>
      <c r="V3" s="18"/>
      <c r="W3" s="18"/>
      <c r="X3" s="19"/>
    </row>
    <row r="4" spans="1:24" x14ac:dyDescent="0.25">
      <c r="A4" s="7" t="s">
        <v>1</v>
      </c>
      <c r="B4" s="7">
        <v>2509011</v>
      </c>
      <c r="C4" s="7" t="s">
        <v>14</v>
      </c>
      <c r="D4" s="7" t="s">
        <v>34</v>
      </c>
      <c r="E4" s="7"/>
      <c r="F4" s="7" t="s">
        <v>39</v>
      </c>
      <c r="G4" s="7" t="s">
        <v>38</v>
      </c>
      <c r="H4" s="8">
        <v>45936</v>
      </c>
      <c r="I4" s="8">
        <v>45912</v>
      </c>
      <c r="J4" s="7" t="s">
        <v>35</v>
      </c>
      <c r="K4" s="7" t="s">
        <v>36</v>
      </c>
      <c r="L4" s="7" t="s">
        <v>32</v>
      </c>
      <c r="M4" s="9">
        <f>0.7*1.21</f>
        <v>0.84699999999999998</v>
      </c>
      <c r="N4" s="9">
        <f>0.7*1.21</f>
        <v>0.84699999999999998</v>
      </c>
      <c r="O4" s="9">
        <f t="shared" si="0"/>
        <v>0</v>
      </c>
      <c r="P4" s="7">
        <v>7002</v>
      </c>
      <c r="Q4" s="8">
        <v>45904</v>
      </c>
      <c r="R4" s="7"/>
      <c r="S4" s="7"/>
      <c r="T4" s="11"/>
      <c r="U4" s="17"/>
      <c r="V4" s="18"/>
      <c r="W4" s="18"/>
      <c r="X4" s="19"/>
    </row>
    <row r="5" spans="1:24" x14ac:dyDescent="0.25">
      <c r="A5" s="7" t="s">
        <v>1</v>
      </c>
      <c r="B5" s="7">
        <v>2509012</v>
      </c>
      <c r="C5" s="7" t="s">
        <v>14</v>
      </c>
      <c r="D5" s="7" t="s">
        <v>37</v>
      </c>
      <c r="E5" s="7"/>
      <c r="F5" s="7" t="s">
        <v>39</v>
      </c>
      <c r="G5" s="7" t="s">
        <v>38</v>
      </c>
      <c r="H5" s="8">
        <v>45936</v>
      </c>
      <c r="I5" s="8">
        <v>45919</v>
      </c>
      <c r="J5" s="7" t="s">
        <v>35</v>
      </c>
      <c r="K5" s="7" t="s">
        <v>36</v>
      </c>
      <c r="L5" s="7" t="s">
        <v>32</v>
      </c>
      <c r="M5" s="9">
        <f>0.7*1.21</f>
        <v>0.84699999999999998</v>
      </c>
      <c r="N5" s="9">
        <f>0.7*1.21</f>
        <v>0.84699999999999998</v>
      </c>
      <c r="O5" s="9">
        <f t="shared" si="0"/>
        <v>0</v>
      </c>
      <c r="P5" s="7">
        <v>7002</v>
      </c>
      <c r="Q5" s="8">
        <v>45904</v>
      </c>
      <c r="R5" s="7"/>
      <c r="S5" s="7"/>
      <c r="T5" s="11"/>
      <c r="U5" s="17"/>
      <c r="V5" s="18"/>
      <c r="W5" s="18"/>
      <c r="X5" s="19"/>
    </row>
    <row r="6" spans="1:24" x14ac:dyDescent="0.25">
      <c r="A6" s="7" t="s">
        <v>5</v>
      </c>
      <c r="B6" s="7">
        <v>2509013</v>
      </c>
      <c r="C6" s="7" t="s">
        <v>14</v>
      </c>
      <c r="D6" s="7" t="s">
        <v>37</v>
      </c>
      <c r="E6" s="7"/>
      <c r="F6" s="7">
        <v>60335</v>
      </c>
      <c r="G6" s="7" t="s">
        <v>16</v>
      </c>
      <c r="H6" s="8">
        <v>45971</v>
      </c>
      <c r="I6" s="8">
        <v>45947</v>
      </c>
      <c r="J6" s="7"/>
      <c r="K6" s="7"/>
      <c r="L6" s="7"/>
      <c r="M6" s="9">
        <v>1.21</v>
      </c>
      <c r="N6" s="9">
        <v>1.21</v>
      </c>
      <c r="O6" s="9">
        <f t="shared" si="0"/>
        <v>0</v>
      </c>
      <c r="P6" s="7">
        <v>7002</v>
      </c>
      <c r="Q6" s="8">
        <v>45904</v>
      </c>
      <c r="R6" s="7"/>
      <c r="S6" s="7"/>
      <c r="T6" s="11"/>
      <c r="U6" s="17"/>
      <c r="V6" s="18"/>
      <c r="W6" s="18"/>
      <c r="X6" s="19"/>
    </row>
    <row r="7" spans="1:24" x14ac:dyDescent="0.25">
      <c r="A7" s="7" t="s">
        <v>1</v>
      </c>
      <c r="B7" s="7">
        <v>2509014</v>
      </c>
      <c r="C7" s="7" t="s">
        <v>14</v>
      </c>
      <c r="D7" s="7" t="s">
        <v>40</v>
      </c>
      <c r="E7" s="7"/>
      <c r="F7" s="7" t="s">
        <v>41</v>
      </c>
      <c r="G7" s="7" t="s">
        <v>42</v>
      </c>
      <c r="H7" s="8">
        <v>45936</v>
      </c>
      <c r="I7" s="8">
        <v>45926</v>
      </c>
      <c r="J7" s="7" t="s">
        <v>35</v>
      </c>
      <c r="K7" s="7" t="s">
        <v>36</v>
      </c>
      <c r="L7" s="7" t="s">
        <v>32</v>
      </c>
      <c r="M7" s="9">
        <f>1.2*1.21</f>
        <v>1.452</v>
      </c>
      <c r="N7" s="9">
        <f>1.2*1.21</f>
        <v>1.452</v>
      </c>
      <c r="O7" s="9">
        <f t="shared" si="0"/>
        <v>0</v>
      </c>
      <c r="P7" s="7">
        <v>7002</v>
      </c>
      <c r="Q7" s="8">
        <v>45904</v>
      </c>
      <c r="R7" s="7"/>
      <c r="S7" s="7"/>
      <c r="T7" s="11"/>
      <c r="U7" s="17"/>
      <c r="V7" s="18"/>
      <c r="W7" s="18"/>
      <c r="X7" s="19"/>
    </row>
    <row r="8" spans="1:24" x14ac:dyDescent="0.25">
      <c r="A8" s="7" t="s">
        <v>6</v>
      </c>
      <c r="B8" s="7">
        <v>2509055</v>
      </c>
      <c r="C8" s="7" t="s">
        <v>54</v>
      </c>
      <c r="D8" s="7" t="s">
        <v>55</v>
      </c>
      <c r="E8" s="7"/>
      <c r="F8" s="7">
        <v>9780076</v>
      </c>
      <c r="G8" s="7" t="s">
        <v>56</v>
      </c>
      <c r="H8" s="8">
        <v>45926</v>
      </c>
      <c r="I8" s="8">
        <v>45910</v>
      </c>
      <c r="J8" s="7" t="s">
        <v>52</v>
      </c>
      <c r="K8" s="7" t="s">
        <v>36</v>
      </c>
      <c r="L8" s="7" t="s">
        <v>32</v>
      </c>
      <c r="M8" s="9">
        <f>1.4*1.21</f>
        <v>1.694</v>
      </c>
      <c r="N8" s="9">
        <f>1.4*1.21</f>
        <v>1.694</v>
      </c>
      <c r="O8" s="9">
        <f t="shared" si="0"/>
        <v>0</v>
      </c>
      <c r="P8" s="7">
        <v>7006</v>
      </c>
      <c r="Q8" s="8">
        <v>45905</v>
      </c>
      <c r="R8" s="7"/>
      <c r="S8" s="7"/>
      <c r="T8" s="11"/>
      <c r="U8" s="17"/>
      <c r="V8" s="18"/>
      <c r="W8" s="18"/>
      <c r="X8" s="19"/>
    </row>
    <row r="9" spans="1:24" x14ac:dyDescent="0.25">
      <c r="A9" s="7" t="s">
        <v>43</v>
      </c>
      <c r="B9" s="7">
        <v>2508286</v>
      </c>
      <c r="C9" s="7" t="s">
        <v>44</v>
      </c>
      <c r="D9" s="7" t="s">
        <v>46</v>
      </c>
      <c r="E9" s="7"/>
      <c r="F9" s="7" t="s">
        <v>47</v>
      </c>
      <c r="G9" s="7" t="s">
        <v>48</v>
      </c>
      <c r="H9" s="8">
        <v>45900</v>
      </c>
      <c r="I9" s="8">
        <v>45900</v>
      </c>
      <c r="J9" s="7" t="s">
        <v>36</v>
      </c>
      <c r="K9" s="7"/>
      <c r="L9" s="7"/>
      <c r="M9" s="9">
        <v>1.5304</v>
      </c>
      <c r="N9" s="9">
        <v>1.5304</v>
      </c>
      <c r="O9" s="9">
        <f t="shared" si="0"/>
        <v>0</v>
      </c>
      <c r="P9" s="7">
        <v>6998</v>
      </c>
      <c r="Q9" s="8">
        <v>45898</v>
      </c>
      <c r="R9" s="7"/>
      <c r="S9" s="7"/>
      <c r="T9" s="11"/>
      <c r="U9" s="17"/>
      <c r="V9" s="18"/>
      <c r="W9" s="18"/>
      <c r="X9" s="19"/>
    </row>
    <row r="10" spans="1:24" x14ac:dyDescent="0.25">
      <c r="A10" s="7" t="s">
        <v>43</v>
      </c>
      <c r="B10" s="7">
        <v>2509053</v>
      </c>
      <c r="C10" s="7" t="s">
        <v>45</v>
      </c>
      <c r="D10" s="7" t="s">
        <v>49</v>
      </c>
      <c r="E10" s="7"/>
      <c r="F10" s="7" t="s">
        <v>50</v>
      </c>
      <c r="G10" s="7" t="s">
        <v>51</v>
      </c>
      <c r="H10" s="8">
        <v>45926</v>
      </c>
      <c r="I10" s="8">
        <v>45912</v>
      </c>
      <c r="J10" s="7"/>
      <c r="K10" s="7"/>
      <c r="L10" s="7"/>
      <c r="M10" s="9">
        <f>2.1/1.21</f>
        <v>1.7355371900826448</v>
      </c>
      <c r="N10" s="9">
        <f>2.1/1.21</f>
        <v>1.7355371900826448</v>
      </c>
      <c r="O10" s="9">
        <f t="shared" si="0"/>
        <v>0</v>
      </c>
      <c r="P10" s="7">
        <v>7003</v>
      </c>
      <c r="Q10" s="8">
        <v>45905</v>
      </c>
      <c r="R10" s="7"/>
      <c r="S10" s="7"/>
      <c r="T10" s="11"/>
      <c r="U10" s="17"/>
      <c r="V10" s="18"/>
      <c r="W10" s="18"/>
      <c r="X10" s="19"/>
    </row>
    <row r="11" spans="1:24" x14ac:dyDescent="0.25">
      <c r="A11" s="7" t="s">
        <v>6</v>
      </c>
      <c r="B11" s="7">
        <v>2509035</v>
      </c>
      <c r="C11" s="7" t="s">
        <v>45</v>
      </c>
      <c r="D11" s="7" t="s">
        <v>53</v>
      </c>
      <c r="E11" s="7"/>
      <c r="F11" s="7">
        <v>230108</v>
      </c>
      <c r="G11" s="7" t="s">
        <v>57</v>
      </c>
      <c r="H11" s="8">
        <v>45924</v>
      </c>
      <c r="I11" s="8">
        <v>45912</v>
      </c>
      <c r="J11" s="7" t="s">
        <v>52</v>
      </c>
      <c r="K11" s="7" t="s">
        <v>36</v>
      </c>
      <c r="L11" s="7" t="s">
        <v>32</v>
      </c>
      <c r="M11" s="9"/>
      <c r="N11" s="9"/>
      <c r="O11" s="9">
        <f t="shared" si="0"/>
        <v>0</v>
      </c>
      <c r="P11" s="7"/>
      <c r="Q11" s="8"/>
      <c r="R11" s="7"/>
      <c r="S11" s="7"/>
      <c r="T11" s="11"/>
      <c r="U11" s="17"/>
      <c r="V11" s="18"/>
      <c r="W11" s="18"/>
      <c r="X11" s="19"/>
    </row>
    <row r="12" spans="1:24" x14ac:dyDescent="0.25">
      <c r="A12" s="7" t="s">
        <v>7</v>
      </c>
      <c r="B12" s="7">
        <v>2507254</v>
      </c>
      <c r="C12" s="7" t="s">
        <v>58</v>
      </c>
      <c r="D12" s="7" t="s">
        <v>59</v>
      </c>
      <c r="E12" s="7"/>
      <c r="F12" s="7">
        <v>25008</v>
      </c>
      <c r="G12" s="7" t="s">
        <v>13</v>
      </c>
      <c r="H12" s="8">
        <v>45908</v>
      </c>
      <c r="I12" s="8">
        <v>45919</v>
      </c>
      <c r="J12" s="7" t="s">
        <v>64</v>
      </c>
      <c r="K12" s="7"/>
      <c r="L12" s="7"/>
      <c r="M12" s="9">
        <f>3646.5*1300/1000000*2</f>
        <v>9.4809000000000001</v>
      </c>
      <c r="N12" s="9">
        <f>M12/2</f>
        <v>4.7404500000000001</v>
      </c>
      <c r="O12" s="9">
        <f t="shared" si="0"/>
        <v>4.7404500000000001</v>
      </c>
      <c r="P12" s="7">
        <v>6941</v>
      </c>
      <c r="Q12" s="8">
        <v>45863</v>
      </c>
      <c r="R12" s="7">
        <v>4729</v>
      </c>
      <c r="S12" s="9">
        <f>3646.5*1300/1000000</f>
        <v>4.7404500000000001</v>
      </c>
      <c r="T12" s="12">
        <f>M12-S12</f>
        <v>4.7404500000000001</v>
      </c>
      <c r="U12" s="17"/>
      <c r="V12" s="18"/>
      <c r="W12" s="18"/>
      <c r="X12" s="19"/>
    </row>
    <row r="13" spans="1:24" ht="15.75" thickBot="1" x14ac:dyDescent="0.3">
      <c r="A13" s="7" t="s">
        <v>8</v>
      </c>
      <c r="B13" s="7">
        <v>2507302</v>
      </c>
      <c r="C13" s="7" t="s">
        <v>60</v>
      </c>
      <c r="D13" s="7" t="s">
        <v>61</v>
      </c>
      <c r="E13" s="7"/>
      <c r="F13" s="7">
        <v>23019</v>
      </c>
      <c r="G13" s="7" t="s">
        <v>62</v>
      </c>
      <c r="H13" s="8">
        <v>45868</v>
      </c>
      <c r="I13" s="8">
        <v>45868</v>
      </c>
      <c r="J13" s="7" t="s">
        <v>63</v>
      </c>
      <c r="K13" s="7" t="s">
        <v>64</v>
      </c>
      <c r="L13" s="7"/>
      <c r="M13" s="9">
        <v>0.45374999999999999</v>
      </c>
      <c r="N13" s="9">
        <v>0.45374999999999999</v>
      </c>
      <c r="O13" s="9">
        <f t="shared" si="0"/>
        <v>0</v>
      </c>
      <c r="P13" s="7">
        <v>6943</v>
      </c>
      <c r="Q13" s="8">
        <v>45868</v>
      </c>
      <c r="R13" s="7"/>
      <c r="S13" s="7"/>
      <c r="T13" s="11"/>
      <c r="U13" s="20"/>
      <c r="V13" s="21"/>
      <c r="W13" s="21"/>
      <c r="X13" s="22"/>
    </row>
    <row r="14" spans="1:24" x14ac:dyDescent="0.25">
      <c r="H14" s="2"/>
      <c r="I14" s="2"/>
      <c r="M14" s="3"/>
      <c r="N14" s="3"/>
      <c r="O14" s="3"/>
      <c r="Q1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Cainelli</dc:creator>
  <cp:lastModifiedBy>Juan Carlos Cainelli</cp:lastModifiedBy>
  <dcterms:created xsi:type="dcterms:W3CDTF">2025-09-08T10:58:05Z</dcterms:created>
  <dcterms:modified xsi:type="dcterms:W3CDTF">2025-12-16T14:27:50Z</dcterms:modified>
</cp:coreProperties>
</file>